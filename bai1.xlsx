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<sst xmlns="http://schemas.openxmlformats.org/spreadsheetml/2006/main" count="78" uniqueCount="50">
  <si>
    <t xml:space="preserve">BẢNG TỔNG HỢP CHI PHÍ TỪ ĐỐI TÁC NGÂN HÀNG (THÁNG 05/2024)</t>
  </si>
  <si>
    <t xml:space="preserve">STT</t>
  </si>
  <si>
    <t xml:space="preserve">Tên người dùng</t>
  </si>
  <si>
    <t xml:space="preserve">Ngân hàng đối tác</t>
  </si>
  <si>
    <t xml:space="preserve">Mã đối tác</t>
  </si>
  <si>
    <t xml:space="preserve">Số giao dịch</t>
  </si>
  <si>
    <t xml:space="preserve">Doanh số (VND)</t>
  </si>
  <si>
    <t xml:space="preserve">Phí cố định (VND)</t>
  </si>
  <si>
    <t xml:space="preserve">Tỷ lệ phí (%)</t>
  </si>
  <si>
    <t xml:space="preserve">Phí biến đổi (VND)</t>
  </si>
  <si>
    <t xml:space="preserve">Tổng phí (VND)</t>
  </si>
  <si>
    <t xml:space="preserve">Trần Văn Nam</t>
  </si>
  <si>
    <t xml:space="preserve">Vietcombank</t>
  </si>
  <si>
    <t xml:space="preserve">VCB</t>
  </si>
  <si>
    <t xml:space="preserve">Dương Thị Thu</t>
  </si>
  <si>
    <t xml:space="preserve">BIDV</t>
  </si>
  <si>
    <t xml:space="preserve">Nguyễn Minh Quân</t>
  </si>
  <si>
    <t xml:space="preserve">VietinBank</t>
  </si>
  <si>
    <t xml:space="preserve">CTG</t>
  </si>
  <si>
    <t xml:space="preserve">Phan Hồng Nhân</t>
  </si>
  <si>
    <t xml:space="preserve">TECHCOMBANK</t>
  </si>
  <si>
    <t xml:space="preserve">TCB</t>
  </si>
  <si>
    <t xml:space="preserve">Lê Thị Thôi</t>
  </si>
  <si>
    <t xml:space="preserve">MB BANK</t>
  </si>
  <si>
    <t xml:space="preserve">MBB</t>
  </si>
  <si>
    <t xml:space="preserve">Trần Phương Nam</t>
  </si>
  <si>
    <t xml:space="preserve">ACB</t>
  </si>
  <si>
    <t xml:space="preserve">Vũ Phương Anh</t>
  </si>
  <si>
    <t xml:space="preserve">VP BANK</t>
  </si>
  <si>
    <t xml:space="preserve">VPB</t>
  </si>
  <si>
    <t xml:space="preserve">Phí Văn Đức</t>
  </si>
  <si>
    <t xml:space="preserve">TPBANK</t>
  </si>
  <si>
    <t xml:space="preserve">TPB</t>
  </si>
  <si>
    <t xml:space="preserve">Nguyễn Trọng Nhân</t>
  </si>
  <si>
    <t xml:space="preserve">OCB</t>
  </si>
  <si>
    <t xml:space="preserve">Trương Thúy Kiều</t>
  </si>
  <si>
    <t xml:space="preserve">SHB</t>
  </si>
  <si>
    <t xml:space="preserve">Ghi chú: Phí biến đổi = Doanh số × Tỷ lệ phí; Tổng phí = Phí cố định + Phí biến đổi. Dữ liệu nhập từ ảnh người dùng cung cấp.</t>
  </si>
  <si>
    <t xml:space="preserve">Mã người dùng</t>
  </si>
  <si>
    <t xml:space="preserve">Name01</t>
  </si>
  <si>
    <t xml:space="preserve">Name02</t>
  </si>
  <si>
    <t xml:space="preserve">Name03</t>
  </si>
  <si>
    <t xml:space="preserve">Name04</t>
  </si>
  <si>
    <t xml:space="preserve">Name05</t>
  </si>
  <si>
    <t xml:space="preserve">Name06</t>
  </si>
  <si>
    <t xml:space="preserve">Name07</t>
  </si>
  <si>
    <t xml:space="preserve">Name08</t>
  </si>
  <si>
    <t xml:space="preserve">Name09</t>
  </si>
  <si>
    <t xml:space="preserve">Name10</t>
  </si>
  <si>
    <t xml:space="preserve">Ghi chú: Số giao dịch tra cứu từ bảng phía trên theo Tên người dùng (cột thứ 4 của vùng B:J = cột 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</si>
</sst>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10" min="9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n">
        <v>1</v>
      </c>
      <c r="B3" s="4" t="s">
        <v>11</v>
      </c>
      <c r="C3" s="4" t="s">
        <v>12</v>
      </c>
      <c r="D3" s="3" t="s">
        <v>13</v>
      </c>
      <c r="E3" s="5" t="n">
        <v>128345</v>
      </c>
      <c r="F3" s="5" t="n">
        <v>25364580000</v>
      </c>
      <c r="G3" s="5" t="n">
        <v>1000000</v>
      </c>
      <c r="H3" s="6" t="n">
        <v>0.0008</v>
      </c>
      <c r="I3" s="5" t="n">
        <f aca="false">F3*H3</f>
        <v>20291664</v>
      </c>
      <c r="J3" s="5" t="n">
        <f aca="false">G3+I3</f>
        <v>21291664</v>
      </c>
    </row>
    <row r="4" customFormat="false" ht="15" hidden="false" customHeight="false" outlineLevel="0" collapsed="false">
      <c r="A4" s="7" t="n">
        <v>2</v>
      </c>
      <c r="B4" s="8" t="s">
        <v>14</v>
      </c>
      <c r="C4" s="8" t="s">
        <v>15</v>
      </c>
      <c r="D4" s="7" t="s">
        <v>15</v>
      </c>
      <c r="E4" s="9" t="n">
        <v>96732</v>
      </c>
      <c r="F4" s="9" t="n">
        <v>18245760000</v>
      </c>
      <c r="G4" s="9" t="n">
        <v>1000000</v>
      </c>
      <c r="H4" s="10" t="n">
        <v>0.0008</v>
      </c>
      <c r="I4" s="9" t="n">
        <f aca="false">F4*H4</f>
        <v>14596608</v>
      </c>
      <c r="J4" s="9" t="n">
        <f aca="false">G4+I4</f>
        <v>15596608</v>
      </c>
    </row>
    <row r="5" customFormat="false" ht="15" hidden="false" customHeight="false" outlineLevel="0" collapsed="false">
      <c r="A5" s="3" t="n">
        <v>3</v>
      </c>
      <c r="B5" s="4" t="s">
        <v>16</v>
      </c>
      <c r="C5" s="4" t="s">
        <v>17</v>
      </c>
      <c r="D5" s="3" t="s">
        <v>18</v>
      </c>
      <c r="E5" s="5" t="n">
        <v>87531</v>
      </c>
      <c r="F5" s="5" t="n">
        <v>16834210000</v>
      </c>
      <c r="G5" s="5" t="n">
        <v>1000000</v>
      </c>
      <c r="H5" s="6" t="n">
        <v>0.0007</v>
      </c>
      <c r="I5" s="5" t="n">
        <f aca="false">F5*H5</f>
        <v>11783947</v>
      </c>
      <c r="J5" s="5" t="n">
        <f aca="false">G5+I5</f>
        <v>12783947</v>
      </c>
    </row>
    <row r="6" customFormat="false" ht="15" hidden="false" customHeight="false" outlineLevel="0" collapsed="false">
      <c r="A6" s="7" t="n">
        <v>4</v>
      </c>
      <c r="B6" s="8" t="s">
        <v>19</v>
      </c>
      <c r="C6" s="8" t="s">
        <v>20</v>
      </c>
      <c r="D6" s="7" t="s">
        <v>21</v>
      </c>
      <c r="E6" s="9" t="n">
        <v>74113</v>
      </c>
      <c r="F6" s="9" t="n">
        <v>14102330000</v>
      </c>
      <c r="G6" s="9" t="n">
        <v>1000000</v>
      </c>
      <c r="H6" s="10" t="n">
        <v>0.0007</v>
      </c>
      <c r="I6" s="9" t="n">
        <f aca="false">F6*H6</f>
        <v>9871631</v>
      </c>
      <c r="J6" s="9" t="n">
        <f aca="false">G6+I6</f>
        <v>10871631</v>
      </c>
    </row>
    <row r="7" customFormat="false" ht="15" hidden="false" customHeight="false" outlineLevel="0" collapsed="false">
      <c r="A7" s="3" t="n">
        <v>5</v>
      </c>
      <c r="B7" s="4" t="s">
        <v>22</v>
      </c>
      <c r="C7" s="4" t="s">
        <v>23</v>
      </c>
      <c r="D7" s="3" t="s">
        <v>24</v>
      </c>
      <c r="E7" s="5" t="n">
        <v>63921</v>
      </c>
      <c r="F7" s="5" t="n">
        <v>12009880000</v>
      </c>
      <c r="G7" s="5" t="n">
        <v>1000000</v>
      </c>
      <c r="H7" s="6" t="n">
        <v>0.0008</v>
      </c>
      <c r="I7" s="5" t="n">
        <f aca="false">F7*H7</f>
        <v>9607904</v>
      </c>
      <c r="J7" s="5" t="n">
        <f aca="false">G7+I7</f>
        <v>10607904</v>
      </c>
    </row>
    <row r="8" customFormat="false" ht="15" hidden="false" customHeight="false" outlineLevel="0" collapsed="false">
      <c r="A8" s="7" t="n">
        <v>6</v>
      </c>
      <c r="B8" s="8" t="s">
        <v>25</v>
      </c>
      <c r="C8" s="8" t="s">
        <v>26</v>
      </c>
      <c r="D8" s="7" t="s">
        <v>26</v>
      </c>
      <c r="E8" s="9" t="n">
        <v>52448</v>
      </c>
      <c r="F8" s="9" t="n">
        <v>9455230000</v>
      </c>
      <c r="G8" s="9" t="n">
        <v>1000000</v>
      </c>
      <c r="H8" s="10" t="n">
        <v>0.0008</v>
      </c>
      <c r="I8" s="9" t="n">
        <f aca="false">F8*H8</f>
        <v>7564184</v>
      </c>
      <c r="J8" s="9" t="n">
        <f aca="false">G8+I8</f>
        <v>8564184</v>
      </c>
    </row>
    <row r="9" customFormat="false" ht="15" hidden="false" customHeight="false" outlineLevel="0" collapsed="false">
      <c r="A9" s="3" t="n">
        <v>7</v>
      </c>
      <c r="B9" s="4" t="s">
        <v>27</v>
      </c>
      <c r="C9" s="4" t="s">
        <v>28</v>
      </c>
      <c r="D9" s="3" t="s">
        <v>29</v>
      </c>
      <c r="E9" s="5" t="n">
        <v>49302</v>
      </c>
      <c r="F9" s="5" t="n">
        <v>8921450000</v>
      </c>
      <c r="G9" s="5" t="n">
        <v>1000000</v>
      </c>
      <c r="H9" s="6" t="n">
        <v>0.0008</v>
      </c>
      <c r="I9" s="5" t="n">
        <f aca="false">F9*H9</f>
        <v>7137160</v>
      </c>
      <c r="J9" s="5" t="n">
        <f aca="false">G9+I9</f>
        <v>8137160</v>
      </c>
    </row>
    <row r="10" customFormat="false" ht="15" hidden="false" customHeight="false" outlineLevel="0" collapsed="false">
      <c r="A10" s="7" t="n">
        <v>8</v>
      </c>
      <c r="B10" s="8" t="s">
        <v>30</v>
      </c>
      <c r="C10" s="8" t="s">
        <v>31</v>
      </c>
      <c r="D10" s="7" t="s">
        <v>32</v>
      </c>
      <c r="E10" s="9" t="n">
        <v>38654</v>
      </c>
      <c r="F10" s="9" t="n">
        <v>6784120000</v>
      </c>
      <c r="G10" s="9" t="n">
        <v>1000000</v>
      </c>
      <c r="H10" s="10" t="n">
        <v>0.0008</v>
      </c>
      <c r="I10" s="9" t="n">
        <f aca="false">F10*H10</f>
        <v>5427296</v>
      </c>
      <c r="J10" s="9" t="n">
        <f aca="false">G10+I10</f>
        <v>6427296</v>
      </c>
    </row>
    <row r="11" customFormat="false" ht="15" hidden="false" customHeight="false" outlineLevel="0" collapsed="false">
      <c r="A11" s="3" t="n">
        <v>9</v>
      </c>
      <c r="B11" s="4" t="s">
        <v>33</v>
      </c>
      <c r="C11" s="4" t="s">
        <v>34</v>
      </c>
      <c r="D11" s="3" t="s">
        <v>34</v>
      </c>
      <c r="E11" s="5" t="n">
        <v>27832</v>
      </c>
      <c r="F11" s="5" t="n">
        <v>4982630000</v>
      </c>
      <c r="G11" s="5" t="n">
        <v>1000000</v>
      </c>
      <c r="H11" s="6" t="n">
        <v>0.0008</v>
      </c>
      <c r="I11" s="5" t="n">
        <f aca="false">F11*H11</f>
        <v>3986104</v>
      </c>
      <c r="J11" s="5" t="n">
        <f aca="false">G11+I11</f>
        <v>4986104</v>
      </c>
    </row>
    <row r="12" customFormat="false" ht="15" hidden="false" customHeight="false" outlineLevel="0" collapsed="false">
      <c r="A12" s="7" t="n">
        <v>10</v>
      </c>
      <c r="B12" s="8" t="s">
        <v>35</v>
      </c>
      <c r="C12" s="8" t="s">
        <v>36</v>
      </c>
      <c r="D12" s="7" t="s">
        <v>36</v>
      </c>
      <c r="E12" s="9" t="n">
        <v>22145</v>
      </c>
      <c r="F12" s="9" t="n">
        <v>3765230000</v>
      </c>
      <c r="G12" s="9" t="n">
        <v>1000000</v>
      </c>
      <c r="H12" s="10" t="n">
        <v>0.0008</v>
      </c>
      <c r="I12" s="9" t="n">
        <f aca="false">F12*H12</f>
        <v>3012184</v>
      </c>
      <c r="J12" s="9" t="n">
        <f aca="false">G12+I12</f>
        <v>4012184</v>
      </c>
    </row>
    <row r="14" customFormat="false" ht="15" hidden="false" customHeight="false" outlineLevel="0" collapsed="false">
      <c r="A14" s="11" t="s">
        <v>37</v>
      </c>
    </row>
    <row r="17" customFormat="false" ht="23.85" hidden="false" customHeight="false" outlineLevel="0" collapsed="false">
      <c r="A17" s="2" t="s">
        <v>1</v>
      </c>
      <c r="B17" s="2" t="s">
        <v>3</v>
      </c>
      <c r="C17" s="2" t="s">
        <v>38</v>
      </c>
      <c r="D17" s="2" t="s">
        <v>2</v>
      </c>
      <c r="E17" s="2" t="s">
        <v>5</v>
      </c>
    </row>
    <row r="18" customFormat="false" ht="15" hidden="false" customHeight="false" outlineLevel="0" collapsed="false">
      <c r="A18" s="4" t="n">
        <v>1</v>
      </c>
      <c r="B18" s="4" t="s">
        <v>12</v>
      </c>
      <c r="C18" s="4" t="s">
        <v>39</v>
      </c>
      <c r="D18" s="4" t="s">
        <v>11</v>
      </c>
      <c r="E18" s="5" t="n">
        <f aca="false">VLOOKUP(TRIM(D18),$B$1:$J$12,4,FALSE())</f>
        <v>128345</v>
      </c>
    </row>
    <row r="19" customFormat="false" ht="15" hidden="false" customHeight="false" outlineLevel="0" collapsed="false">
      <c r="A19" s="8" t="n">
        <v>2</v>
      </c>
      <c r="B19" s="8" t="s">
        <v>15</v>
      </c>
      <c r="C19" s="8" t="s">
        <v>40</v>
      </c>
      <c r="D19" s="8" t="s">
        <v>14</v>
      </c>
      <c r="E19" s="9" t="n">
        <f aca="false">VLOOKUP(TRIM(D19),$B$1:$J$12,4,FALSE())</f>
        <v>96732</v>
      </c>
    </row>
    <row r="20" customFormat="false" ht="15" hidden="false" customHeight="false" outlineLevel="0" collapsed="false">
      <c r="A20" s="4" t="n">
        <v>3</v>
      </c>
      <c r="B20" s="4" t="s">
        <v>17</v>
      </c>
      <c r="C20" s="4" t="s">
        <v>41</v>
      </c>
      <c r="D20" s="4" t="s">
        <v>16</v>
      </c>
      <c r="E20" s="5" t="n">
        <f aca="false">VLOOKUP(TRIM(D20),$B$1:$J$12,4,FALSE())</f>
        <v>87531</v>
      </c>
    </row>
    <row r="21" customFormat="false" ht="15" hidden="false" customHeight="false" outlineLevel="0" collapsed="false">
      <c r="A21" s="8" t="n">
        <v>4</v>
      </c>
      <c r="B21" s="8" t="s">
        <v>20</v>
      </c>
      <c r="C21" s="8" t="s">
        <v>42</v>
      </c>
      <c r="D21" s="8" t="s">
        <v>19</v>
      </c>
      <c r="E21" s="9" t="n">
        <f aca="false">VLOOKUP(TRIM(D21),$B$1:$J$12,4,FALSE())</f>
        <v>74113</v>
      </c>
    </row>
    <row r="22" customFormat="false" ht="15" hidden="false" customHeight="false" outlineLevel="0" collapsed="false">
      <c r="A22" s="4" t="n">
        <v>5</v>
      </c>
      <c r="B22" s="4" t="s">
        <v>23</v>
      </c>
      <c r="C22" s="4" t="s">
        <v>43</v>
      </c>
      <c r="D22" s="4" t="s">
        <v>22</v>
      </c>
      <c r="E22" s="5" t="n">
        <f aca="false">VLOOKUP(TRIM(D22),$B$1:$J$12,4,FALSE())</f>
        <v>63921</v>
      </c>
    </row>
    <row r="23" customFormat="false" ht="15" hidden="false" customHeight="false" outlineLevel="0" collapsed="false">
      <c r="A23" s="8" t="n">
        <v>6</v>
      </c>
      <c r="B23" s="8" t="s">
        <v>26</v>
      </c>
      <c r="C23" s="8" t="s">
        <v>44</v>
      </c>
      <c r="D23" s="8" t="s">
        <v>25</v>
      </c>
      <c r="E23" s="9" t="n">
        <f aca="false">VLOOKUP(TRIM(D23),$B$1:$J$12,4,FALSE())</f>
        <v>52448</v>
      </c>
    </row>
    <row r="24" customFormat="false" ht="15" hidden="false" customHeight="false" outlineLevel="0" collapsed="false">
      <c r="A24" s="4" t="n">
        <v>7</v>
      </c>
      <c r="B24" s="4" t="s">
        <v>28</v>
      </c>
      <c r="C24" s="4" t="s">
        <v>45</v>
      </c>
      <c r="D24" s="4" t="s">
        <v>27</v>
      </c>
      <c r="E24" s="5" t="n">
        <f aca="false">VLOOKUP(TRIM(D24),$B$1:$J$12,4,FALSE())</f>
        <v>49302</v>
      </c>
    </row>
    <row r="25" customFormat="false" ht="15" hidden="false" customHeight="false" outlineLevel="0" collapsed="false">
      <c r="A25" s="8" t="n">
        <v>8</v>
      </c>
      <c r="B25" s="8" t="s">
        <v>31</v>
      </c>
      <c r="C25" s="8" t="s">
        <v>46</v>
      </c>
      <c r="D25" s="8" t="s">
        <v>30</v>
      </c>
      <c r="E25" s="9" t="n">
        <f aca="false">VLOOKUP(TRIM(D25),$B$1:$J$12,4,FALSE())</f>
        <v>38654</v>
      </c>
    </row>
    <row r="26" customFormat="false" ht="15" hidden="false" customHeight="false" outlineLevel="0" collapsed="false">
      <c r="A26" s="4" t="n">
        <v>9</v>
      </c>
      <c r="B26" s="4" t="s">
        <v>34</v>
      </c>
      <c r="C26" s="4" t="s">
        <v>47</v>
      </c>
      <c r="D26" s="4" t="s">
        <v>33</v>
      </c>
      <c r="E26" s="5" t="n">
        <f aca="false">VLOOKUP(TRIM(D26),$B$1:$J$12,4,FALSE())</f>
        <v>27832</v>
      </c>
    </row>
    <row r="27" customFormat="false" ht="15" hidden="false" customHeight="false" outlineLevel="0" collapsed="false">
      <c r="A27" s="8" t="n">
        <v>10</v>
      </c>
      <c r="B27" s="8" t="s">
        <v>36</v>
      </c>
      <c r="C27" s="8" t="s">
        <v>48</v>
      </c>
      <c r="D27" s="8" t="s">
        <v>35</v>
      </c>
      <c r="E27" s="9" t="n">
        <f aca="false">VLOOKUP(TRIM(D27),$B$1:$J$12,4,FALSE())</f>
        <v>22145</v>
      </c>
    </row>
    <row r="29" customFormat="false" ht="15" hidden="false" customHeight="false" outlineLevel="0" collapsed="false">
      <c r="A29" s="11" t="s">
        <v>49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2026-10-27T03:00:12Z</dcterms:created>
  <dc:creator>openpyxl</dc:creator>
  <dc:description/>
  <dc:language>en-US</dc:language>
  <cp:lastModifiedBy/>
  <dcterms:modified xsi:type="dcterms:W3CDTF">2026-10-27T03:00:12Z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